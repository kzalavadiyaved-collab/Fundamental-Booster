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67F508EE-1C49-4488-9E86-33970B1D552A}" xr6:coauthVersionLast="47" xr6:coauthVersionMax="47" xr10:uidLastSave="{00000000-0000-0000-0000-000000000000}"/>
  <bookViews>
    <workbookView xWindow="-108" yWindow="-108" windowWidth="23256" windowHeight="12576" xr2:uid="{B1910FAF-8DC5-4838-8C15-AB6FF006A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1" l="1" a="1"/>
  <c r="C69" i="1" s="1"/>
  <c r="E57" i="1"/>
  <c r="E58" i="1"/>
  <c r="E59" i="1"/>
  <c r="E60" i="1"/>
  <c r="E61" i="1"/>
  <c r="E62" i="1"/>
  <c r="E63" i="1"/>
  <c r="E64" i="1"/>
  <c r="E65" i="1"/>
  <c r="E56" i="1"/>
  <c r="E43" i="1"/>
  <c r="E30" i="1"/>
  <c r="C17" i="1"/>
  <c r="C5" i="1"/>
  <c r="C6" i="1"/>
  <c r="C7" i="1"/>
  <c r="C8" i="1"/>
  <c r="C9" i="1"/>
  <c r="C10" i="1"/>
  <c r="C11" i="1"/>
  <c r="C12" i="1"/>
  <c r="C13" i="1"/>
  <c r="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<sst xmlns="http://schemas.openxmlformats.org/spreadsheetml/2006/main" count="103" uniqueCount="66">
  <si>
    <t>STUDENT GRADE TABLE(IF)</t>
  </si>
  <si>
    <t>STUDENT</t>
  </si>
  <si>
    <t>MARKS</t>
  </si>
  <si>
    <t>GRADE</t>
  </si>
  <si>
    <t>MOHAN</t>
  </si>
  <si>
    <t>SOHAN</t>
  </si>
  <si>
    <t>ROHAN</t>
  </si>
  <si>
    <t>MONU</t>
  </si>
  <si>
    <t>SONU</t>
  </si>
  <si>
    <t>ROHIT</t>
  </si>
  <si>
    <t>SUNNY</t>
  </si>
  <si>
    <t>JAMSED</t>
  </si>
  <si>
    <t>BINOD</t>
  </si>
  <si>
    <t>RAHUL</t>
  </si>
  <si>
    <t>STUDENT MARKS &gt;60 (COUNTIFS)</t>
  </si>
  <si>
    <t>COUNT</t>
  </si>
  <si>
    <t>PRODUCT PRICE (VLOOKUP)</t>
  </si>
  <si>
    <t>PRODUCT ID</t>
  </si>
  <si>
    <t>PRODUCT NAME</t>
  </si>
  <si>
    <t>PRODUCT PRICE</t>
  </si>
  <si>
    <t>ENTER PRODUCT ID</t>
  </si>
  <si>
    <t>LAPTOP</t>
  </si>
  <si>
    <t>MOUCE</t>
  </si>
  <si>
    <t>KEYBOARD</t>
  </si>
  <si>
    <t>MONITER</t>
  </si>
  <si>
    <t>CPU</t>
  </si>
  <si>
    <t>CABLE</t>
  </si>
  <si>
    <t>HADESAT</t>
  </si>
  <si>
    <t>HEADPHONE</t>
  </si>
  <si>
    <t>EARBUDES</t>
  </si>
  <si>
    <t>MOBILE</t>
  </si>
  <si>
    <t>EMPLOYEE SALERY FIND(XLOOKUP)</t>
  </si>
  <si>
    <t>EMP_ID</t>
  </si>
  <si>
    <t>NAME</t>
  </si>
  <si>
    <t>SALERY</t>
  </si>
  <si>
    <t>EMP_ID ENTER</t>
  </si>
  <si>
    <t>SELERY</t>
  </si>
  <si>
    <t>VED</t>
  </si>
  <si>
    <t>JOSI</t>
  </si>
  <si>
    <t>ABHISEK</t>
  </si>
  <si>
    <t>Date Formatting &amp; Analysis — Joining Date</t>
  </si>
  <si>
    <t>EMPLOYEE NAME</t>
  </si>
  <si>
    <t>JOINING DATA</t>
  </si>
  <si>
    <t>YEAR</t>
  </si>
  <si>
    <t>MONTH</t>
  </si>
  <si>
    <t>TENURE EMPLOYEE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</si>
  <si>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</si>
  <si>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</si>
  <si>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</si>
  <si>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</si>
  <si>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</si>
  <si>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</si>
  <si>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</si>
  <si>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</si>
  <si>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</si>
  <si>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SUJIT</t>
  </si>
  <si>
    <t>June</t>
  </si>
  <si>
    <t>STUDENT MARKS &gt; 80(FILTER)</t>
  </si>
  <si>
    <t>STUDENT NAME</t>
  </si>
  <si>
    <t>RUDRA</t>
  </si>
  <si>
    <t>SONAL</t>
  </si>
  <si>
    <t>JAY</t>
  </si>
  <si>
    <t>KUSH</t>
  </si>
  <si>
    <t>JADHAV</t>
  </si>
  <si>
    <t>JOSHI</t>
  </si>
  <si>
    <t>KRISH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</si>
</sst>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entury"/>
      <family val="1"/>
    </font>
    <font>
      <sz val="18"/>
      <color theme="1"/>
      <name val="Century"/>
      <family val="1"/>
    </font>
    <font>
      <sz val="11"/>
      <color theme="1"/>
      <name val="Century"/>
      <family val="1"/>
    </font>
    <font>
      <sz val="12"/>
      <color theme="1"/>
      <name val="Century"/>
      <family val="1"/>
    </font>
    <font>
      <b/>
      <sz val="18"/>
      <color theme="1"/>
      <name val="Century"/>
      <family val="1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496B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right" wrapText="1"/>
    </xf>
    <xf numFmtId="0" fontId="0" fillId="0" borderId="8" xfId="0" applyBorder="1" applyAlignment="1">
      <alignment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5" borderId="8" xfId="0" applyFill="1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6" borderId="8" xfId="0" applyFill="1" applyBorder="1" applyAlignment="1">
      <alignment wrapText="1"/>
    </xf>
    <xf numFmtId="0" fontId="0" fillId="7" borderId="8" xfId="0" applyFill="1" applyBorder="1" applyAlignment="1">
      <alignment horizontal="right" wrapText="1"/>
    </xf>
    <xf numFmtId="0" fontId="0" fillId="8" borderId="9" xfId="0" applyFill="1" applyBorder="1" applyAlignment="1">
      <alignment horizontal="right" wrapText="1"/>
    </xf>
    <xf numFmtId="0" fontId="0" fillId="9" borderId="8" xfId="0" applyFill="1" applyBorder="1" applyAlignment="1">
      <alignment horizontal="right" wrapText="1"/>
    </xf>
    <xf numFmtId="15" fontId="0" fillId="0" borderId="10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8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wrapText="1"/>
    </xf>
    <xf numFmtId="0" fontId="0" fillId="12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AFF8-7FBF-4CDC-A89F-F4721FDBE5B4}">
  <dimension ref="A1:F80"/>
  <sheetViews>
    <sheetView tabSelected="1" zoomScale="130" zoomScaleNormal="130" workbookViewId="0">
      <selection activeCell="A68" sqref="A68"/>
    </sheetView>
  </sheetViews>
  <sheetFormatPr defaultRowHeight="14.4" x14ac:dyDescent="0.3"/>
  <cols>
    <col min="2" max="2" width="9.88671875" bestFit="1" customWidth="1"/>
  </cols>
  <sheetData>
    <row r="1" spans="1:6" x14ac:dyDescent="0.3">
      <c r="A1" s="39" t="s">
        <v>0</v>
      </c>
      <c r="B1" s="40"/>
      <c r="C1" s="40"/>
      <c r="D1" s="40"/>
      <c r="E1" s="40"/>
      <c r="F1" s="41"/>
    </row>
    <row r="2" spans="1:6" ht="15" thickBot="1" x14ac:dyDescent="0.35">
      <c r="A2" s="42"/>
      <c r="B2" s="43"/>
      <c r="C2" s="43"/>
      <c r="D2" s="43"/>
      <c r="E2" s="43"/>
      <c r="F2" s="44"/>
    </row>
    <row r="3" spans="1:6" ht="15" thickBot="1" x14ac:dyDescent="0.35">
      <c r="A3" s="45" t="s">
        <v>1</v>
      </c>
      <c r="B3" s="1" t="s">
        <v>2</v>
      </c>
      <c r="C3" s="2" t="s">
        <v>3</v>
      </c>
      <c r="D3" s="3"/>
      <c r="E3" s="3"/>
      <c r="F3" s="3"/>
    </row>
    <row r="4" spans="1:6" ht="15" thickBot="1" x14ac:dyDescent="0.35">
      <c r="A4" s="3" t="s">
        <v>6</v>
      </c>
      <c r="B4" s="4">
        <v>90</v>
      </c>
      <c r="C4" t="str">
        <f>IF(B4&gt;=80,"A",IF(B4&gt;=60,"B",IF(B4&gt;=30,"C","F")))</f>
        <v>A</v>
      </c>
      <c r="D4" s="3"/>
      <c r="E4" s="3"/>
      <c r="F4" s="3"/>
    </row>
    <row r="5" spans="1:6" ht="15" thickBot="1" x14ac:dyDescent="0.35">
      <c r="A5" s="3" t="s">
        <v>59</v>
      </c>
      <c r="B5" s="4">
        <v>10</v>
      </c>
      <c r="C5" t="str">
        <f t="shared" ref="C5:C13" si="0">IF(B5&gt;=80,"A",IF(B5&gt;=60,"B",IF(B5&gt;=30,"C","F")))</f>
        <v>F</v>
      </c>
      <c r="D5" s="3"/>
      <c r="E5" s="3"/>
      <c r="F5" s="3"/>
    </row>
    <row r="6" spans="1:6" ht="15" thickBot="1" x14ac:dyDescent="0.35">
      <c r="A6" s="3" t="s">
        <v>60</v>
      </c>
      <c r="B6" s="4">
        <v>38</v>
      </c>
      <c r="C6" t="str">
        <f t="shared" si="0"/>
        <v>C</v>
      </c>
      <c r="D6" s="3"/>
      <c r="E6" s="3"/>
      <c r="F6" s="3"/>
    </row>
    <row r="7" spans="1:6" ht="15" thickBot="1" x14ac:dyDescent="0.35">
      <c r="A7" s="3" t="s">
        <v>7</v>
      </c>
      <c r="B7" s="4">
        <v>49</v>
      </c>
      <c r="C7" t="str">
        <f t="shared" si="0"/>
        <v>C</v>
      </c>
      <c r="D7" s="3"/>
      <c r="E7" s="3"/>
      <c r="F7" s="3"/>
    </row>
    <row r="8" spans="1:6" ht="15" thickBot="1" x14ac:dyDescent="0.35">
      <c r="A8" s="3" t="s">
        <v>61</v>
      </c>
      <c r="B8" s="4">
        <v>49</v>
      </c>
      <c r="C8" t="str">
        <f t="shared" si="0"/>
        <v>C</v>
      </c>
      <c r="D8" s="3"/>
      <c r="E8" s="3"/>
      <c r="F8" s="3"/>
    </row>
    <row r="9" spans="1:6" ht="15" thickBot="1" x14ac:dyDescent="0.35">
      <c r="A9" s="3" t="s">
        <v>9</v>
      </c>
      <c r="B9" s="4">
        <v>33</v>
      </c>
      <c r="C9" t="str">
        <f t="shared" si="0"/>
        <v>C</v>
      </c>
      <c r="D9" s="3"/>
      <c r="E9" s="3"/>
      <c r="F9" s="3"/>
    </row>
    <row r="10" spans="1:6" ht="15" thickBot="1" x14ac:dyDescent="0.35">
      <c r="A10" s="3" t="s">
        <v>10</v>
      </c>
      <c r="B10" s="4">
        <v>64</v>
      </c>
      <c r="C10" t="str">
        <f t="shared" si="0"/>
        <v>B</v>
      </c>
      <c r="D10" s="3"/>
      <c r="E10" s="3"/>
      <c r="F10" s="3"/>
    </row>
    <row r="11" spans="1:6" ht="15" thickBot="1" x14ac:dyDescent="0.35">
      <c r="A11" s="3" t="s">
        <v>62</v>
      </c>
      <c r="B11" s="4">
        <v>46</v>
      </c>
      <c r="C11" t="str">
        <f t="shared" si="0"/>
        <v>C</v>
      </c>
      <c r="D11" s="3"/>
      <c r="E11" s="3"/>
      <c r="F11" s="3"/>
    </row>
    <row r="12" spans="1:6" ht="15" thickBot="1" x14ac:dyDescent="0.35">
      <c r="A12" s="3" t="s">
        <v>12</v>
      </c>
      <c r="B12" s="4">
        <v>98</v>
      </c>
      <c r="C12" t="str">
        <f t="shared" si="0"/>
        <v>A</v>
      </c>
      <c r="D12" s="3"/>
      <c r="E12" s="3"/>
      <c r="F12" s="3"/>
    </row>
    <row r="13" spans="1:6" ht="15" thickBot="1" x14ac:dyDescent="0.35">
      <c r="A13" s="3" t="s">
        <v>63</v>
      </c>
      <c r="B13" s="4">
        <v>62</v>
      </c>
      <c r="C13" t="str">
        <f t="shared" si="0"/>
        <v>B</v>
      </c>
      <c r="D13" s="3"/>
      <c r="E13" s="3"/>
      <c r="F13" s="3"/>
    </row>
    <row r="14" spans="1:6" ht="29.4" customHeight="1" x14ac:dyDescent="0.3">
      <c r="A14" s="19" t="s">
        <v>14</v>
      </c>
      <c r="B14" s="20"/>
      <c r="C14" s="20"/>
      <c r="D14" s="20"/>
      <c r="E14" s="20"/>
      <c r="F14" s="21"/>
    </row>
    <row r="15" spans="1:6" ht="15" thickBot="1" x14ac:dyDescent="0.35">
      <c r="A15" s="22"/>
      <c r="B15" s="23"/>
      <c r="C15" s="23"/>
      <c r="D15" s="23"/>
      <c r="E15" s="23"/>
      <c r="F15" s="24"/>
    </row>
    <row r="16" spans="1:6" ht="30.6" thickBot="1" x14ac:dyDescent="0.35">
      <c r="A16" s="46" t="s">
        <v>1</v>
      </c>
      <c r="B16" s="6" t="s">
        <v>2</v>
      </c>
      <c r="C16" s="7" t="s">
        <v>15</v>
      </c>
      <c r="D16" s="8"/>
      <c r="E16" s="8"/>
      <c r="F16" s="8"/>
    </row>
    <row r="17" spans="1:6" ht="15" thickBot="1" x14ac:dyDescent="0.35">
      <c r="A17" s="3" t="s">
        <v>62</v>
      </c>
      <c r="B17" s="4">
        <v>47</v>
      </c>
      <c r="C17" s="9">
        <f>COUNTIFS(B17:B26,"&gt;60")</f>
        <v>2</v>
      </c>
      <c r="D17" s="3"/>
      <c r="E17" s="3"/>
      <c r="F17" s="3"/>
    </row>
    <row r="18" spans="1:6" ht="15" thickBot="1" x14ac:dyDescent="0.35">
      <c r="A18" s="3" t="s">
        <v>64</v>
      </c>
      <c r="B18" s="10">
        <v>83</v>
      </c>
      <c r="C18" s="9"/>
      <c r="D18" s="3"/>
      <c r="E18" s="3"/>
      <c r="F18" s="3"/>
    </row>
    <row r="19" spans="1:6" ht="15" thickBot="1" x14ac:dyDescent="0.35">
      <c r="A19" s="3" t="s">
        <v>6</v>
      </c>
      <c r="B19" s="10">
        <v>95</v>
      </c>
      <c r="C19" s="3"/>
      <c r="D19" s="3"/>
      <c r="E19" s="3"/>
      <c r="F19" s="3"/>
    </row>
    <row r="20" spans="1:6" ht="15" thickBot="1" x14ac:dyDescent="0.35">
      <c r="A20" s="3" t="s">
        <v>7</v>
      </c>
      <c r="B20" s="10">
        <v>41</v>
      </c>
      <c r="C20" s="3"/>
      <c r="D20" s="3"/>
      <c r="E20" s="3"/>
      <c r="F20" s="3"/>
    </row>
    <row r="21" spans="1:6" ht="15" thickBot="1" x14ac:dyDescent="0.35">
      <c r="A21" s="3" t="s">
        <v>8</v>
      </c>
      <c r="B21" s="10">
        <v>51</v>
      </c>
      <c r="C21" s="3"/>
      <c r="D21" s="3"/>
      <c r="E21" s="3"/>
      <c r="F21" s="3"/>
    </row>
    <row r="22" spans="1:6" ht="15" thickBot="1" x14ac:dyDescent="0.35">
      <c r="A22" s="3" t="s">
        <v>9</v>
      </c>
      <c r="B22" s="10">
        <v>55</v>
      </c>
      <c r="C22" s="3"/>
      <c r="D22" s="3"/>
      <c r="E22" s="3"/>
      <c r="F22" s="3"/>
    </row>
    <row r="23" spans="1:6" ht="15" thickBot="1" x14ac:dyDescent="0.35">
      <c r="A23" s="3" t="s">
        <v>65</v>
      </c>
      <c r="B23" s="10">
        <v>53</v>
      </c>
      <c r="C23" s="3"/>
      <c r="D23" s="3"/>
      <c r="E23" s="3"/>
      <c r="F23" s="3"/>
    </row>
    <row r="24" spans="1:6" ht="15" thickBot="1" x14ac:dyDescent="0.35">
      <c r="A24" s="3" t="s">
        <v>11</v>
      </c>
      <c r="B24" s="10">
        <v>43</v>
      </c>
      <c r="C24" s="3"/>
      <c r="D24" s="3"/>
      <c r="E24" s="3"/>
      <c r="F24" s="3"/>
    </row>
    <row r="25" spans="1:6" ht="15" thickBot="1" x14ac:dyDescent="0.35">
      <c r="A25" s="3" t="s">
        <v>12</v>
      </c>
      <c r="B25" s="10">
        <v>11</v>
      </c>
      <c r="C25" s="3"/>
      <c r="D25" s="3"/>
      <c r="E25" s="3"/>
      <c r="F25" s="3"/>
    </row>
    <row r="26" spans="1:6" ht="15" thickBot="1" x14ac:dyDescent="0.35">
      <c r="A26" s="3" t="s">
        <v>13</v>
      </c>
      <c r="B26" s="10">
        <v>18</v>
      </c>
      <c r="C26" s="3"/>
      <c r="D26" s="3"/>
      <c r="E26" s="3"/>
      <c r="F26" s="3"/>
    </row>
    <row r="27" spans="1:6" x14ac:dyDescent="0.3">
      <c r="A27" s="18" t="s">
        <v>16</v>
      </c>
      <c r="B27" s="25"/>
      <c r="C27" s="25"/>
      <c r="D27" s="25"/>
      <c r="E27" s="25"/>
      <c r="F27" s="26"/>
    </row>
    <row r="28" spans="1:6" ht="15" thickBot="1" x14ac:dyDescent="0.35">
      <c r="A28" s="22"/>
      <c r="B28" s="23"/>
      <c r="C28" s="23"/>
      <c r="D28" s="23"/>
      <c r="E28" s="23"/>
      <c r="F28" s="24"/>
    </row>
    <row r="29" spans="1:6" ht="43.8" thickBot="1" x14ac:dyDescent="0.35">
      <c r="A29" s="47" t="s">
        <v>17</v>
      </c>
      <c r="B29" s="1" t="s">
        <v>18</v>
      </c>
      <c r="C29" s="48" t="s">
        <v>19</v>
      </c>
      <c r="D29" s="11" t="s">
        <v>20</v>
      </c>
      <c r="E29" s="11" t="s">
        <v>19</v>
      </c>
      <c r="F29" s="3"/>
    </row>
    <row r="30" spans="1:6" ht="15" thickBot="1" x14ac:dyDescent="0.35">
      <c r="A30" s="10">
        <v>101</v>
      </c>
      <c r="B30" s="3" t="s">
        <v>21</v>
      </c>
      <c r="C30" s="4">
        <v>1587</v>
      </c>
      <c r="D30" s="12">
        <v>110</v>
      </c>
      <c r="E30" s="13">
        <f>VLOOKUP(D30,A29:C39,3,FALSE)</f>
        <v>9940</v>
      </c>
      <c r="F30" s="3"/>
    </row>
    <row r="31" spans="1:6" ht="15" thickBot="1" x14ac:dyDescent="0.35">
      <c r="A31" s="10">
        <v>102</v>
      </c>
      <c r="B31" s="3" t="s">
        <v>22</v>
      </c>
      <c r="C31" s="10">
        <v>1786</v>
      </c>
      <c r="D31" s="3"/>
      <c r="E31" s="3"/>
      <c r="F31" s="3"/>
    </row>
    <row r="32" spans="1:6" ht="29.4" thickBot="1" x14ac:dyDescent="0.35">
      <c r="A32" s="10">
        <v>103</v>
      </c>
      <c r="B32" s="3" t="s">
        <v>23</v>
      </c>
      <c r="C32" s="10">
        <v>8704</v>
      </c>
      <c r="D32" s="3"/>
      <c r="E32" s="3"/>
      <c r="F32" s="3"/>
    </row>
    <row r="33" spans="1:6" ht="29.4" thickBot="1" x14ac:dyDescent="0.35">
      <c r="A33" s="10">
        <v>104</v>
      </c>
      <c r="B33" s="3" t="s">
        <v>24</v>
      </c>
      <c r="C33" s="10">
        <v>1325</v>
      </c>
      <c r="D33" s="3"/>
      <c r="E33" s="3"/>
      <c r="F33" s="3"/>
    </row>
    <row r="34" spans="1:6" ht="15" thickBot="1" x14ac:dyDescent="0.35">
      <c r="A34" s="10">
        <v>105</v>
      </c>
      <c r="B34" s="3" t="s">
        <v>25</v>
      </c>
      <c r="C34" s="10">
        <v>1963</v>
      </c>
      <c r="D34" s="3"/>
      <c r="E34" s="3"/>
      <c r="F34" s="3"/>
    </row>
    <row r="35" spans="1:6" ht="15" thickBot="1" x14ac:dyDescent="0.35">
      <c r="A35" s="10">
        <v>106</v>
      </c>
      <c r="B35" s="3" t="s">
        <v>26</v>
      </c>
      <c r="C35" s="10">
        <v>5257</v>
      </c>
      <c r="D35" s="3"/>
      <c r="E35" s="3"/>
      <c r="F35" s="3"/>
    </row>
    <row r="36" spans="1:6" ht="15" thickBot="1" x14ac:dyDescent="0.35">
      <c r="A36" s="10">
        <v>107</v>
      </c>
      <c r="B36" s="3" t="s">
        <v>27</v>
      </c>
      <c r="C36" s="10">
        <v>7559</v>
      </c>
      <c r="D36" s="3"/>
      <c r="E36" s="3"/>
      <c r="F36" s="3"/>
    </row>
    <row r="37" spans="1:6" ht="29.4" thickBot="1" x14ac:dyDescent="0.35">
      <c r="A37" s="10">
        <v>108</v>
      </c>
      <c r="B37" s="3" t="s">
        <v>28</v>
      </c>
      <c r="C37" s="10">
        <v>7763</v>
      </c>
      <c r="D37" s="3"/>
      <c r="E37" s="3"/>
      <c r="F37" s="3"/>
    </row>
    <row r="38" spans="1:6" ht="29.4" thickBot="1" x14ac:dyDescent="0.35">
      <c r="A38" s="10">
        <v>109</v>
      </c>
      <c r="B38" s="3" t="s">
        <v>29</v>
      </c>
      <c r="C38" s="10">
        <v>5578</v>
      </c>
      <c r="D38" s="3"/>
      <c r="E38" s="3"/>
      <c r="F38" s="3"/>
    </row>
    <row r="39" spans="1:6" ht="15" thickBot="1" x14ac:dyDescent="0.35">
      <c r="A39" s="10">
        <v>110</v>
      </c>
      <c r="B39" s="3" t="s">
        <v>30</v>
      </c>
      <c r="C39" s="10">
        <v>9940</v>
      </c>
      <c r="D39" s="3"/>
      <c r="E39" s="3"/>
      <c r="F39" s="3"/>
    </row>
    <row r="40" spans="1:6" ht="29.4" customHeight="1" x14ac:dyDescent="0.3">
      <c r="A40" s="18" t="s">
        <v>31</v>
      </c>
      <c r="B40" s="25"/>
      <c r="C40" s="25"/>
      <c r="D40" s="25"/>
      <c r="E40" s="25"/>
      <c r="F40" s="26"/>
    </row>
    <row r="41" spans="1:6" ht="15" thickBot="1" x14ac:dyDescent="0.35">
      <c r="A41" s="22"/>
      <c r="B41" s="23"/>
      <c r="C41" s="23"/>
      <c r="D41" s="23"/>
      <c r="E41" s="23"/>
      <c r="F41" s="24"/>
    </row>
    <row r="42" spans="1:6" ht="29.4" thickBot="1" x14ac:dyDescent="0.35">
      <c r="A42" s="47" t="s">
        <v>32</v>
      </c>
      <c r="B42" s="1" t="s">
        <v>33</v>
      </c>
      <c r="C42" s="48" t="s">
        <v>34</v>
      </c>
      <c r="D42" s="11" t="s">
        <v>35</v>
      </c>
      <c r="E42" s="11" t="s">
        <v>36</v>
      </c>
      <c r="F42" s="3"/>
    </row>
    <row r="43" spans="1:6" ht="15" thickBot="1" x14ac:dyDescent="0.35">
      <c r="A43" s="10">
        <v>201</v>
      </c>
      <c r="B43" s="3" t="s">
        <v>8</v>
      </c>
      <c r="C43" s="4">
        <v>3513</v>
      </c>
      <c r="D43" s="14">
        <v>202</v>
      </c>
      <c r="E43" s="14">
        <f>_xlfn.XLOOKUP(D43,A42:A52,C42:C52,"NOT FOUND")</f>
        <v>14170</v>
      </c>
      <c r="F43" s="3"/>
    </row>
    <row r="44" spans="1:6" ht="15" thickBot="1" x14ac:dyDescent="0.35">
      <c r="A44" s="10">
        <v>202</v>
      </c>
      <c r="B44" s="3" t="s">
        <v>9</v>
      </c>
      <c r="C44" s="10">
        <v>14170</v>
      </c>
      <c r="D44" s="3"/>
      <c r="E44" s="3"/>
      <c r="F44" s="3"/>
    </row>
    <row r="45" spans="1:6" ht="15" thickBot="1" x14ac:dyDescent="0.35">
      <c r="A45" s="10">
        <v>203</v>
      </c>
      <c r="B45" s="3" t="s">
        <v>10</v>
      </c>
      <c r="C45" s="10">
        <v>17836</v>
      </c>
      <c r="D45" s="3"/>
      <c r="E45" s="3"/>
      <c r="F45" s="3"/>
    </row>
    <row r="46" spans="1:6" ht="15" thickBot="1" x14ac:dyDescent="0.35">
      <c r="A46" s="10">
        <v>204</v>
      </c>
      <c r="B46" s="3" t="s">
        <v>11</v>
      </c>
      <c r="C46" s="10">
        <v>11256</v>
      </c>
      <c r="D46" s="3"/>
      <c r="E46" s="3"/>
      <c r="F46" s="3"/>
    </row>
    <row r="47" spans="1:6" ht="15" thickBot="1" x14ac:dyDescent="0.35">
      <c r="A47" s="10">
        <v>205</v>
      </c>
      <c r="B47" s="3" t="s">
        <v>12</v>
      </c>
      <c r="C47" s="10">
        <v>9602</v>
      </c>
      <c r="D47" s="3"/>
      <c r="E47" s="3"/>
      <c r="F47" s="3"/>
    </row>
    <row r="48" spans="1:6" ht="15" thickBot="1" x14ac:dyDescent="0.35">
      <c r="A48" s="10">
        <v>206</v>
      </c>
      <c r="B48" s="3" t="s">
        <v>6</v>
      </c>
      <c r="C48" s="10">
        <v>18705</v>
      </c>
      <c r="D48" s="3"/>
      <c r="E48" s="3"/>
      <c r="F48" s="3"/>
    </row>
    <row r="49" spans="1:6" ht="15" thickBot="1" x14ac:dyDescent="0.35">
      <c r="A49" s="10">
        <v>207</v>
      </c>
      <c r="B49" s="3" t="s">
        <v>37</v>
      </c>
      <c r="C49" s="10">
        <v>3305</v>
      </c>
      <c r="D49" s="3"/>
      <c r="E49" s="3"/>
      <c r="F49" s="3"/>
    </row>
    <row r="50" spans="1:6" ht="15" thickBot="1" x14ac:dyDescent="0.35">
      <c r="A50" s="10">
        <v>208</v>
      </c>
      <c r="B50" s="3" t="s">
        <v>38</v>
      </c>
      <c r="C50" s="10">
        <v>11016</v>
      </c>
      <c r="D50" s="3"/>
      <c r="E50" s="3"/>
      <c r="F50" s="3"/>
    </row>
    <row r="51" spans="1:6" ht="15" thickBot="1" x14ac:dyDescent="0.35">
      <c r="A51" s="10">
        <v>209</v>
      </c>
      <c r="B51" s="3" t="s">
        <v>9</v>
      </c>
      <c r="C51" s="10">
        <v>14969</v>
      </c>
      <c r="D51" s="3"/>
      <c r="E51" s="3"/>
      <c r="F51" s="3"/>
    </row>
    <row r="52" spans="1:6" ht="15" thickBot="1" x14ac:dyDescent="0.35">
      <c r="A52" s="10">
        <v>210</v>
      </c>
      <c r="B52" s="3" t="s">
        <v>39</v>
      </c>
      <c r="C52" s="10">
        <v>5659</v>
      </c>
      <c r="D52" s="3"/>
      <c r="E52" s="3"/>
      <c r="F52" s="3"/>
    </row>
    <row r="53" spans="1:6" ht="29.4" customHeight="1" x14ac:dyDescent="0.3">
      <c r="A53" s="27" t="s">
        <v>40</v>
      </c>
      <c r="B53" s="28"/>
      <c r="C53" s="28"/>
      <c r="D53" s="28"/>
      <c r="E53" s="28"/>
      <c r="F53" s="29"/>
    </row>
    <row r="54" spans="1:6" ht="15" thickBot="1" x14ac:dyDescent="0.35">
      <c r="A54" s="30"/>
      <c r="B54" s="31"/>
      <c r="C54" s="31"/>
      <c r="D54" s="31"/>
      <c r="E54" s="31"/>
      <c r="F54" s="32"/>
    </row>
    <row r="55" spans="1:6" ht="43.8" thickBot="1" x14ac:dyDescent="0.35">
      <c r="A55" s="47" t="s">
        <v>41</v>
      </c>
      <c r="B55" s="1" t="s">
        <v>42</v>
      </c>
      <c r="C55" s="2" t="s">
        <v>43</v>
      </c>
      <c r="D55" s="2" t="s">
        <v>44</v>
      </c>
      <c r="E55" s="2" t="s">
        <v>45</v>
      </c>
      <c r="F55" s="3"/>
    </row>
    <row r="56" spans="1:6" ht="29.4" thickBot="1" x14ac:dyDescent="0.35">
      <c r="A56" s="3" t="s">
        <v>5</v>
      </c>
      <c r="B56" s="15">
        <v>40433</v>
      </c>
      <c r="C56" s="16">
        <v>2010</v>
      </c>
      <c r="D56" s="5" t="s">
        <v>46</v>
      </c>
      <c r="E56" s="16">
        <f ca="1">DATEDIF(B56,TODAY(),"Y")</f>
        <v>16</v>
      </c>
      <c r="F56" s="3"/>
    </row>
    <row r="57" spans="1:6" ht="15" thickBot="1" x14ac:dyDescent="0.35">
      <c r="A57" s="3" t="s">
        <v>6</v>
      </c>
      <c r="B57" s="15">
        <v>40829</v>
      </c>
      <c r="C57" s="16">
        <v>2011</v>
      </c>
      <c r="D57" s="5" t="s">
        <v>47</v>
      </c>
      <c r="E57" s="16">
        <f t="shared" ref="E57:E65" ca="1" si="1">DATEDIF(B57,TODAY(),"Y")</f>
        <v>15</v>
      </c>
      <c r="F57" s="3"/>
    </row>
    <row r="58" spans="1:6" ht="29.4" thickBot="1" x14ac:dyDescent="0.35">
      <c r="A58" s="3" t="s">
        <v>7</v>
      </c>
      <c r="B58" s="15">
        <v>41225</v>
      </c>
      <c r="C58" s="16">
        <v>2012</v>
      </c>
      <c r="D58" s="5" t="s">
        <v>48</v>
      </c>
      <c r="E58" s="16">
        <f t="shared" ca="1" si="1"/>
        <v>13</v>
      </c>
      <c r="F58" s="3"/>
    </row>
    <row r="59" spans="1:6" ht="29.4" thickBot="1" x14ac:dyDescent="0.35">
      <c r="A59" s="3" t="s">
        <v>8</v>
      </c>
      <c r="B59" s="15">
        <v>41621</v>
      </c>
      <c r="C59" s="16">
        <v>2013</v>
      </c>
      <c r="D59" s="5" t="s">
        <v>49</v>
      </c>
      <c r="E59" s="16">
        <f t="shared" ca="1" si="1"/>
        <v>12</v>
      </c>
      <c r="F59" s="3"/>
    </row>
    <row r="60" spans="1:6" ht="15" thickBot="1" x14ac:dyDescent="0.35">
      <c r="A60" s="3" t="s">
        <v>9</v>
      </c>
      <c r="B60" s="15">
        <v>42017</v>
      </c>
      <c r="C60" s="16">
        <v>2015</v>
      </c>
      <c r="D60" s="5" t="s">
        <v>50</v>
      </c>
      <c r="E60" s="16">
        <f t="shared" ca="1" si="1"/>
        <v>11</v>
      </c>
      <c r="F60" s="3"/>
    </row>
    <row r="61" spans="1:6" ht="15" thickBot="1" x14ac:dyDescent="0.35">
      <c r="A61" s="3" t="s">
        <v>10</v>
      </c>
      <c r="B61" s="15">
        <v>42413</v>
      </c>
      <c r="C61" s="16">
        <v>2016</v>
      </c>
      <c r="D61" s="5" t="s">
        <v>51</v>
      </c>
      <c r="E61" s="16">
        <f t="shared" ca="1" si="1"/>
        <v>10</v>
      </c>
      <c r="F61" s="3"/>
    </row>
    <row r="62" spans="1:6" ht="15" thickBot="1" x14ac:dyDescent="0.35">
      <c r="A62" s="3" t="s">
        <v>11</v>
      </c>
      <c r="B62" s="15">
        <v>42809</v>
      </c>
      <c r="C62" s="16">
        <v>2017</v>
      </c>
      <c r="D62" s="5" t="s">
        <v>52</v>
      </c>
      <c r="E62" s="16">
        <f t="shared" ca="1" si="1"/>
        <v>9</v>
      </c>
      <c r="F62" s="3"/>
    </row>
    <row r="63" spans="1:6" ht="15" thickBot="1" x14ac:dyDescent="0.35">
      <c r="A63" s="3" t="s">
        <v>12</v>
      </c>
      <c r="B63" s="15">
        <v>43205</v>
      </c>
      <c r="C63" s="16">
        <v>2018</v>
      </c>
      <c r="D63" s="5" t="s">
        <v>53</v>
      </c>
      <c r="E63" s="16">
        <f t="shared" ca="1" si="1"/>
        <v>8</v>
      </c>
      <c r="F63" s="3"/>
    </row>
    <row r="64" spans="1:6" ht="15" thickBot="1" x14ac:dyDescent="0.35">
      <c r="A64" s="3" t="s">
        <v>13</v>
      </c>
      <c r="B64" s="15">
        <v>43601</v>
      </c>
      <c r="C64" s="16">
        <v>2019</v>
      </c>
      <c r="D64" s="5" t="s">
        <v>54</v>
      </c>
      <c r="E64" s="16">
        <f t="shared" ca="1" si="1"/>
        <v>7</v>
      </c>
      <c r="F64" s="3"/>
    </row>
    <row r="65" spans="1:6" ht="15" thickBot="1" x14ac:dyDescent="0.35">
      <c r="A65" s="3" t="s">
        <v>55</v>
      </c>
      <c r="B65" s="15">
        <v>43997</v>
      </c>
      <c r="C65" s="16">
        <v>2020</v>
      </c>
      <c r="D65" s="5" t="s">
        <v>56</v>
      </c>
      <c r="E65" s="16">
        <f t="shared" ca="1" si="1"/>
        <v>6</v>
      </c>
      <c r="F65" s="3"/>
    </row>
    <row r="66" spans="1:6" x14ac:dyDescent="0.3">
      <c r="A66" s="33" t="s">
        <v>57</v>
      </c>
      <c r="B66" s="34"/>
      <c r="C66" s="34"/>
      <c r="D66" s="34"/>
      <c r="E66" s="34"/>
      <c r="F66" s="35"/>
    </row>
    <row r="67" spans="1:6" ht="15" thickBot="1" x14ac:dyDescent="0.35">
      <c r="A67" s="36"/>
      <c r="B67" s="37"/>
      <c r="C67" s="37"/>
      <c r="D67" s="37"/>
      <c r="E67" s="37"/>
      <c r="F67" s="38"/>
    </row>
    <row r="68" spans="1:6" ht="29.4" thickBot="1" x14ac:dyDescent="0.35">
      <c r="A68" s="47" t="s">
        <v>58</v>
      </c>
      <c r="B68" s="1" t="s">
        <v>2</v>
      </c>
      <c r="C68" s="11" t="s">
        <v>33</v>
      </c>
      <c r="D68" s="11" t="s">
        <v>2</v>
      </c>
      <c r="E68" s="3"/>
      <c r="F68" s="3"/>
    </row>
    <row r="69" spans="1:6" ht="15" thickBot="1" x14ac:dyDescent="0.35">
      <c r="A69" s="3" t="s">
        <v>12</v>
      </c>
      <c r="B69" s="4">
        <v>39</v>
      </c>
      <c r="C69" s="17" t="str" cm="1">
        <f t="array" ref="C69:D71">_xlfn._xlws.FILTER(A69:B81,B69:B81&gt;80,"NO MATCHING STUDENT")</f>
        <v>VED</v>
      </c>
      <c r="D69" s="5">
        <v>81</v>
      </c>
      <c r="E69" s="3"/>
      <c r="F69" s="3"/>
    </row>
    <row r="70" spans="1:6" ht="15" thickBot="1" x14ac:dyDescent="0.35">
      <c r="A70" s="3" t="s">
        <v>6</v>
      </c>
      <c r="B70" s="4">
        <v>67</v>
      </c>
      <c r="C70" s="17" t="str">
        <v>SOHAN</v>
      </c>
      <c r="D70" s="5">
        <v>98</v>
      </c>
      <c r="E70" s="3"/>
      <c r="F70" s="3"/>
    </row>
    <row r="71" spans="1:6" ht="15" thickBot="1" x14ac:dyDescent="0.35">
      <c r="A71" s="3" t="s">
        <v>37</v>
      </c>
      <c r="B71" s="10">
        <v>81</v>
      </c>
      <c r="C71" s="3" t="str">
        <v>MONU</v>
      </c>
      <c r="D71" s="3">
        <v>93</v>
      </c>
      <c r="E71" s="3"/>
      <c r="F71" s="3"/>
    </row>
    <row r="72" spans="1:6" ht="15" thickBot="1" x14ac:dyDescent="0.35">
      <c r="A72" s="3" t="s">
        <v>38</v>
      </c>
      <c r="B72" s="10">
        <v>78</v>
      </c>
      <c r="C72" s="3"/>
      <c r="D72" s="3"/>
      <c r="E72" s="3"/>
      <c r="F72" s="3"/>
    </row>
    <row r="73" spans="1:6" ht="15" thickBot="1" x14ac:dyDescent="0.35">
      <c r="A73" s="3" t="s">
        <v>9</v>
      </c>
      <c r="B73" s="10">
        <v>56</v>
      </c>
      <c r="C73" s="3"/>
      <c r="D73" s="3"/>
      <c r="E73" s="3"/>
      <c r="F73" s="3"/>
    </row>
    <row r="74" spans="1:6" ht="15" thickBot="1" x14ac:dyDescent="0.35">
      <c r="A74" s="3" t="s">
        <v>39</v>
      </c>
      <c r="B74" s="10">
        <v>16</v>
      </c>
      <c r="C74" s="3"/>
      <c r="D74" s="3"/>
      <c r="E74" s="3"/>
      <c r="F74" s="3"/>
    </row>
    <row r="75" spans="1:6" ht="15" thickBot="1" x14ac:dyDescent="0.35">
      <c r="A75" s="3" t="s">
        <v>4</v>
      </c>
      <c r="B75" s="10">
        <v>69</v>
      </c>
      <c r="C75" s="3"/>
      <c r="D75" s="3"/>
      <c r="E75" s="3"/>
      <c r="F75" s="3"/>
    </row>
    <row r="76" spans="1:6" ht="15" thickBot="1" x14ac:dyDescent="0.35">
      <c r="A76" s="3" t="s">
        <v>5</v>
      </c>
      <c r="B76" s="10">
        <v>98</v>
      </c>
      <c r="C76" s="3"/>
      <c r="D76" s="3"/>
      <c r="E76" s="3"/>
      <c r="F76" s="3"/>
    </row>
    <row r="77" spans="1:6" ht="15" thickBot="1" x14ac:dyDescent="0.35">
      <c r="A77" s="3" t="s">
        <v>10</v>
      </c>
      <c r="B77" s="10">
        <v>15</v>
      </c>
      <c r="C77" s="3"/>
      <c r="D77" s="3"/>
      <c r="E77" s="3"/>
      <c r="F77" s="3"/>
    </row>
    <row r="78" spans="1:6" ht="15" thickBot="1" x14ac:dyDescent="0.35">
      <c r="A78" s="3" t="s">
        <v>7</v>
      </c>
      <c r="B78" s="10">
        <v>93</v>
      </c>
      <c r="C78" s="3"/>
      <c r="D78" s="3"/>
      <c r="E78" s="3"/>
      <c r="F78" s="3"/>
    </row>
    <row r="79" spans="1:6" ht="15" thickBot="1" x14ac:dyDescent="0.35">
      <c r="A79" s="3" t="s">
        <v>8</v>
      </c>
      <c r="B79" s="10">
        <v>18</v>
      </c>
      <c r="C79" s="3"/>
      <c r="D79" s="3"/>
      <c r="E79" s="3"/>
      <c r="F79" s="3"/>
    </row>
    <row r="80" spans="1:6" ht="15" thickBot="1" x14ac:dyDescent="0.35">
      <c r="A80" s="3" t="s">
        <v>9</v>
      </c>
      <c r="B80" s="10">
        <v>58</v>
      </c>
      <c r="C80" s="3"/>
      <c r="D80" s="3"/>
      <c r="E80" s="3"/>
      <c r="F80" s="3"/>
    </row>
  </sheetData>
  <mergeCells count="6">
    <mergeCell ref="A1:F2"/>
    <mergeCell ref="A14:F15"/>
    <mergeCell ref="A27:F28"/>
    <mergeCell ref="A40:F41"/>
    <mergeCell ref="A53:F54"/>
    <mergeCell ref="A66:F6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2026-10-22T03:27:55Z</dcterms:created>
  <dcterms:modified xsi:type="dcterms:W3CDTF">2026-10-22T03:46:10Z</dcterms:modified>
</cp:coreProperties>
</file>